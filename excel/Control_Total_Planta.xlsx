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SUMEN" sheetId="1" r:id="rId4"/>
    <sheet name="INVENTARIO" sheetId="2" r:id="rId5"/>
    <sheet name="EN_PROCESO" sheetId="3" r:id="rId6"/>
    <sheet name="PRODUCCION" sheetId="4" r:id="rId7"/>
    <sheet name="DESPACHO" sheetId="5" r:id="rId8"/>
    <sheet name="PROVEEDORES" sheetId="6" r:id="rId9"/>
    <sheet name="RESIDUOS_PRODUCCION" sheetId="7" r:id="rId10"/>
  </sheets>
  <definedNames>
    <definedName name="_xlnm._FilterDatabase" localSheetId="1" hidden="1">'INVENTARIO'!$A$1:$S$7</definedName>
    <definedName name="_xlnm._FilterDatabase" localSheetId="3" hidden="1">'PRODUCCION'!$A$1:$N$4</definedName>
    <definedName name="_xlnm._FilterDatabase" localSheetId="4" hidden="1">'DESPACHO'!$A$1:$L$4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<sst xmlns="http://schemas.openxmlformats.org/spreadsheetml/2006/main" uniqueCount="127">
  <si>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DASHBOARD CONTROL PLANTA</t>
  </si>
  <si>
    <t>Inventario total</t>
  </si>
  <si>
    <t>Producción total</t>
  </si>
  <si>
    <t>Despachos</t>
  </si>
  <si>
    <t>id</t>
  </si>
  <si>
    <t>fecha</t>
  </si>
  <si>
    <t>hora</t>
  </si>
  <si>
    <t>placa</t>
  </si>
  <si>
    <t>proveedor</t>
  </si>
  <si>
    <t>codigo_proveedor</t>
  </si>
  <si>
    <t>procedencia</t>
  </si>
  <si>
    <t>tipo_material</t>
  </si>
  <si>
    <t>tipo_resina</t>
  </si>
  <si>
    <t>color</t>
  </si>
  <si>
    <t>presentacion</t>
  </si>
  <si>
    <t>procedencia_tipo</t>
  </si>
  <si>
    <t>tipo_producto</t>
  </si>
  <si>
    <t>tipo_residuo</t>
  </si>
  <si>
    <t>historial</t>
  </si>
  <si>
    <t>peso</t>
  </si>
  <si>
    <t>remision</t>
  </si>
  <si>
    <t>codigo_paca</t>
  </si>
  <si>
    <t>creado_en</t>
  </si>
  <si>
    <t>2026-04-08</t>
  </si>
  <si>
    <t>04:24</t>
  </si>
  <si>
    <t>010 qka</t>
  </si>
  <si>
    <t>ASOCIACION AMBIENTAL DEL MAGDALENA</t>
  </si>
  <si>
    <t>AAM</t>
  </si>
  <si>
    <t>mosquera</t>
  </si>
  <si>
    <t>ACEITE</t>
  </si>
  <si>
    <t>PET</t>
  </si>
  <si>
    <t>Transparente</t>
  </si>
  <si>
    <t>Compactado</t>
  </si>
  <si>
    <t>Posconsumo</t>
  </si>
  <si>
    <t>Botellas</t>
  </si>
  <si>
    <t>Hogar</t>
  </si>
  <si>
    <t>Bebidas y refrescos</t>
  </si>
  <si>
    <t>014</t>
  </si>
  <si>
    <t>AAM-20260408-1</t>
  </si>
  <si>
    <t>2026-04-08 23:24:34</t>
  </si>
  <si>
    <t>04:28</t>
  </si>
  <si>
    <t>014 111</t>
  </si>
  <si>
    <t>FERNANDO CARDONA - ASOCIACION PROSPERAR</t>
  </si>
  <si>
    <t>FCA</t>
  </si>
  <si>
    <t>BOLSA DE AZUCAR</t>
  </si>
  <si>
    <t>Polietileno De Alta (HDPE)</t>
  </si>
  <si>
    <t>Suelto</t>
  </si>
  <si>
    <t>Preconsumo</t>
  </si>
  <si>
    <t>Empaques Flexibles</t>
  </si>
  <si>
    <t>Empaque alimentos</t>
  </si>
  <si>
    <t>044</t>
  </si>
  <si>
    <t>FCA-20260408-1</t>
  </si>
  <si>
    <t>2026-04-08 23:27:48</t>
  </si>
  <si>
    <t>2026-04-30</t>
  </si>
  <si>
    <t>11:50</t>
  </si>
  <si>
    <t>COOPERATIVA MULTIACTIVA DE RECUPERADORES DEL SUR</t>
  </si>
  <si>
    <t>CRS</t>
  </si>
  <si>
    <t>Industria</t>
  </si>
  <si>
    <t>CRS-20260430-1</t>
  </si>
  <si>
    <t>2026-04-30 18:50:37</t>
  </si>
  <si>
    <t>2026-05-07</t>
  </si>
  <si>
    <t>09:43</t>
  </si>
  <si>
    <t>ALDEMAR FORERO</t>
  </si>
  <si>
    <t>AFO</t>
  </si>
  <si>
    <t>MOSQUERA</t>
  </si>
  <si>
    <t>PET ASEO</t>
  </si>
  <si>
    <t>Industrial</t>
  </si>
  <si>
    <t>AFO-20260507-1</t>
  </si>
  <si>
    <t>2026-05-07 16:43:29</t>
  </si>
  <si>
    <t>14:27</t>
  </si>
  <si>
    <t>PET ROSADO</t>
  </si>
  <si>
    <t>Azul</t>
  </si>
  <si>
    <t>Envases</t>
  </si>
  <si>
    <t>Empaque / Embalaje</t>
  </si>
  <si>
    <t>2026-05-07 21:28:46</t>
  </si>
  <si>
    <t>14:33</t>
  </si>
  <si>
    <t>Verde</t>
  </si>
  <si>
    <t>AFO-20260507-2</t>
  </si>
  <si>
    <t>2026-05-07 21:32:20</t>
  </si>
  <si>
    <t>puerto</t>
  </si>
  <si>
    <t>fecha_inicio</t>
  </si>
  <si>
    <t>04:24:00</t>
  </si>
  <si>
    <t>2026-04-08 23:24:46</t>
  </si>
  <si>
    <t>04:28:00</t>
  </si>
  <si>
    <t>2026-04-08 23:28:10</t>
  </si>
  <si>
    <t>09:43:00</t>
  </si>
  <si>
    <t>2026-05-07 16:44:45</t>
  </si>
  <si>
    <t>fecha_produccion</t>
  </si>
  <si>
    <t>linea</t>
  </si>
  <si>
    <t>usuario</t>
  </si>
  <si>
    <t>turno</t>
  </si>
  <si>
    <t>lote</t>
  </si>
  <si>
    <t>operador</t>
  </si>
  <si>
    <t>observaciones</t>
  </si>
  <si>
    <t>created_at</t>
  </si>
  <si>
    <t>Línea de lavado 2</t>
  </si>
  <si>
    <t>Admin</t>
  </si>
  <si>
    <t>23:24:00</t>
  </si>
  <si>
    <t>Bulto</t>
  </si>
  <si>
    <t>B2604082-1</t>
  </si>
  <si>
    <t>Hojuela de PET Transparente Beneficiado</t>
  </si>
  <si>
    <t xml:space="preserve">nada </t>
  </si>
  <si>
    <t>2026-04-08 23:25:04</t>
  </si>
  <si>
    <t>23:28:00</t>
  </si>
  <si>
    <t>Globo</t>
  </si>
  <si>
    <t>B2604081-1</t>
  </si>
  <si>
    <t>Hojuela de PET Transparente tipo A</t>
  </si>
  <si>
    <t>2026-04-08 23:28:21</t>
  </si>
  <si>
    <t>16:45:00</t>
  </si>
  <si>
    <t>B2605071-1</t>
  </si>
  <si>
    <t>breiner</t>
  </si>
  <si>
    <t>2026-05-07 16:46:09</t>
  </si>
  <si>
    <t>cliente</t>
  </si>
  <si>
    <t>producto</t>
  </si>
  <si>
    <t>cantidad_kg</t>
  </si>
  <si>
    <t>despachado_por</t>
  </si>
  <si>
    <t>conductor</t>
  </si>
  <si>
    <t>admin</t>
  </si>
  <si>
    <t>sapo</t>
  </si>
  <si>
    <t>2026-04-08 23:25:28</t>
  </si>
  <si>
    <t>2026-04-08 23:28:38</t>
  </si>
  <si>
    <t>david</t>
  </si>
  <si>
    <t>2026-05-07 16:47:08</t>
  </si>
  <si>
    <t>nombre_proveedor</t>
  </si>
  <si>
    <t>residuo</t>
  </si>
  <si>
    <t>origen</t>
  </si>
  <si>
    <t>responsable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</si>
</sst>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8043"/>
        <bgColor rgb="FF000000"/>
      </patternFill>
    </fill>
    <fill>
      <patternFill patternType="solid">
        <fgColor rgb="FFE8F5E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164" fillId="3" borderId="1" applyFont="0" applyNumberFormat="1" applyFill="1" applyBorder="1" applyAlignment="0"/>
    <xf xfId="0" fontId="0" numFmtId="2" fillId="3" borderId="1" applyFont="0" applyNumberFormat="1" applyFill="1" applyBorder="1" applyAlignment="0"/>
    <xf xfId="0" fontId="0" numFmtId="164" fillId="0" borderId="0" applyFont="0" applyNumberFormat="1" applyFill="0" applyBorder="0" applyAlignment="0"/>
    <xf xfId="0" fontId="0" numFmtId="2" fillId="0" borderId="0" applyFont="0" applyNumberFormat="1" applyFill="0" applyBorder="0" applyAlignment="0"/>
    <xf xfId="0" fontId="0" numFmtId="0" fillId="3" borderId="0" applyFont="0" applyNumberFormat="0" applyFill="1" applyBorder="0" applyAlignment="0"/>
    <xf xfId="0" fontId="0" numFmtId="164" fillId="3" borderId="0" applyFont="0" applyNumberFormat="1" applyFill="1" applyBorder="0" applyAlignment="0"/>
    <xf xfId="0" fontId="0" numFmtId="2" fillId="3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0" workbookViewId="0" showGridLines="true" showRowColHeaders="1">
      <selection activeCell="A1" sqref="A1:B5"/>
    </sheetView>
  </sheetViews>
  <sheetFormatPr defaultRowHeight="14.4" outlineLevelRow="0" outlineLevelCol="0"/>
  <sheetData>
    <row r="1" spans="1:2">
      <c r="A1" s="1" t="s">
        <v>0</v>
      </c>
      <c r="B1" s="1"/>
    </row>
    <row r="2" spans="1:2">
      <c r="A2" s="1"/>
      <c r="B2" s="1"/>
    </row>
    <row r="3" spans="1:2">
      <c r="A3" s="1" t="s">
        <v>1</v>
      </c>
      <c r="B3" s="1">
        <f>SUM(INVENTARIO!P:P)</f>
        <v>2300</v>
      </c>
    </row>
    <row r="4" spans="1:2">
      <c r="A4" s="1" t="s">
        <v>2</v>
      </c>
      <c r="B4" s="1">
        <f>SUM(PRODUCCION!L:L)</f>
        <v>250</v>
      </c>
    </row>
    <row r="5" spans="1:2">
      <c r="A5" s="1" t="s">
        <v>3</v>
      </c>
      <c r="B5" s="1">
        <f>SUM(DESPACHO!G:G)</f>
        <v>250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S7"/>
  <sheetViews>
    <sheetView tabSelected="1" workbookViewId="0" showGridLines="true" showRowColHeaders="1">
      <pane ySplit="1" activePane="bottomLeft" state="frozen" topLeftCell="A2"/>
      <selection pane="bottomLeft" activeCell="P2" sqref="P2:P7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0.569" bestFit="true" customWidth="true" style="0"/>
    <col min="4" max="4" width="11.711" bestFit="true" customWidth="true" style="0"/>
    <col min="5" max="5" width="57.7" bestFit="true" customWidth="true" style="0"/>
    <col min="6" max="6" width="24.708" bestFit="true" customWidth="true" style="0"/>
    <col min="7" max="7" width="18.71" bestFit="true" customWidth="true" style="0"/>
    <col min="8" max="8" width="21.138" bestFit="true" customWidth="true" style="0"/>
    <col min="9" max="9" width="31.707" bestFit="true" customWidth="true" style="0"/>
    <col min="10" max="10" width="15.282" bestFit="true" customWidth="true" style="0"/>
    <col min="11" max="11" width="19.995" bestFit="true" customWidth="true" style="0"/>
    <col min="12" max="12" width="24.708" bestFit="true" customWidth="true" style="0"/>
    <col min="13" max="13" width="22.28" bestFit="true" customWidth="true" style="0"/>
    <col min="14" max="14" width="19.995" bestFit="true" customWidth="true" style="0"/>
    <col min="15" max="15" width="23.423" bestFit="true" customWidth="true" style="0"/>
    <col min="16" max="16" width="10.569" bestFit="true" customWidth="true" style="0"/>
    <col min="17" max="17" width="15.282" bestFit="true" customWidth="true" style="0"/>
    <col min="18" max="18" width="18.71" bestFit="true" customWidth="true" style="0"/>
    <col min="19" max="19" width="23.423" bestFit="true" customWidth="true" style="0"/>
  </cols>
  <sheetData>
    <row r="1" spans="1:19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</row>
    <row r="2" spans="1:19">
      <c r="A2" s="3">
        <v>68</v>
      </c>
      <c r="B2" s="4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5">
        <v>100</v>
      </c>
      <c r="Q2" s="3" t="s">
        <v>37</v>
      </c>
      <c r="R2" s="3" t="s">
        <v>38</v>
      </c>
      <c r="S2" s="4" t="s">
        <v>39</v>
      </c>
    </row>
    <row r="3" spans="1:19">
      <c r="A3">
        <v>69</v>
      </c>
      <c r="B3" s="6" t="s">
        <v>23</v>
      </c>
      <c r="C3" t="s">
        <v>40</v>
      </c>
      <c r="D3" t="s">
        <v>41</v>
      </c>
      <c r="E3" t="s">
        <v>42</v>
      </c>
      <c r="F3" t="s">
        <v>43</v>
      </c>
      <c r="G3" t="s">
        <v>28</v>
      </c>
      <c r="H3" t="s">
        <v>44</v>
      </c>
      <c r="I3" t="s">
        <v>45</v>
      </c>
      <c r="J3" t="s">
        <v>31</v>
      </c>
      <c r="K3" t="s">
        <v>46</v>
      </c>
      <c r="L3" t="s">
        <v>47</v>
      </c>
      <c r="M3" t="s">
        <v>48</v>
      </c>
      <c r="N3" t="s">
        <v>35</v>
      </c>
      <c r="O3" t="s">
        <v>49</v>
      </c>
      <c r="P3" s="7">
        <v>100</v>
      </c>
      <c r="Q3" t="s">
        <v>50</v>
      </c>
      <c r="R3" t="s">
        <v>51</v>
      </c>
      <c r="S3" t="s">
        <v>52</v>
      </c>
    </row>
    <row r="4" spans="1:19">
      <c r="A4" s="8">
        <v>70</v>
      </c>
      <c r="B4" s="9" t="s">
        <v>53</v>
      </c>
      <c r="C4" s="8" t="s">
        <v>54</v>
      </c>
      <c r="D4" s="8">
        <v>124</v>
      </c>
      <c r="E4" s="8" t="s">
        <v>55</v>
      </c>
      <c r="F4" s="8" t="s">
        <v>56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57</v>
      </c>
      <c r="O4" s="8" t="s">
        <v>36</v>
      </c>
      <c r="P4" s="10">
        <v>1000</v>
      </c>
      <c r="Q4" s="8">
        <v>11</v>
      </c>
      <c r="R4" s="8" t="s">
        <v>58</v>
      </c>
      <c r="S4" s="8" t="s">
        <v>59</v>
      </c>
    </row>
    <row r="5" spans="1:19">
      <c r="A5">
        <v>71</v>
      </c>
      <c r="B5" s="6" t="s">
        <v>60</v>
      </c>
      <c r="C5" t="s">
        <v>61</v>
      </c>
      <c r="D5">
        <v>1313</v>
      </c>
      <c r="E5" t="s">
        <v>62</v>
      </c>
      <c r="F5" t="s">
        <v>63</v>
      </c>
      <c r="G5" t="s">
        <v>64</v>
      </c>
      <c r="H5" t="s">
        <v>65</v>
      </c>
      <c r="I5" t="s">
        <v>30</v>
      </c>
      <c r="J5" t="s">
        <v>31</v>
      </c>
      <c r="K5" t="s">
        <v>46</v>
      </c>
      <c r="L5" t="s">
        <v>66</v>
      </c>
      <c r="M5" t="s">
        <v>48</v>
      </c>
      <c r="N5" t="s">
        <v>35</v>
      </c>
      <c r="O5" t="s">
        <v>36</v>
      </c>
      <c r="P5" s="7">
        <v>100</v>
      </c>
      <c r="Q5">
        <v>1</v>
      </c>
      <c r="R5" t="s">
        <v>67</v>
      </c>
      <c r="S5" t="s">
        <v>68</v>
      </c>
    </row>
    <row r="6" spans="1:19">
      <c r="A6" s="8">
        <v>72</v>
      </c>
      <c r="B6" s="9" t="s">
        <v>60</v>
      </c>
      <c r="C6" s="8" t="s">
        <v>69</v>
      </c>
      <c r="D6" s="8">
        <v>232323</v>
      </c>
      <c r="E6" s="8" t="s">
        <v>62</v>
      </c>
      <c r="F6" s="8" t="s">
        <v>63</v>
      </c>
      <c r="G6" s="8" t="s">
        <v>64</v>
      </c>
      <c r="H6" s="8" t="s">
        <v>70</v>
      </c>
      <c r="I6" s="8" t="s">
        <v>45</v>
      </c>
      <c r="J6" s="8" t="s">
        <v>71</v>
      </c>
      <c r="K6" s="8" t="s">
        <v>46</v>
      </c>
      <c r="L6" s="8" t="s">
        <v>33</v>
      </c>
      <c r="M6" s="8" t="s">
        <v>72</v>
      </c>
      <c r="N6" s="8" t="s">
        <v>57</v>
      </c>
      <c r="O6" s="8" t="s">
        <v>73</v>
      </c>
      <c r="P6" s="10">
        <v>500</v>
      </c>
      <c r="Q6" s="8">
        <v>111111</v>
      </c>
      <c r="R6" s="8" t="s">
        <v>67</v>
      </c>
      <c r="S6" s="8" t="s">
        <v>74</v>
      </c>
    </row>
    <row r="7" spans="1:19">
      <c r="A7">
        <v>73</v>
      </c>
      <c r="B7" s="6" t="s">
        <v>60</v>
      </c>
      <c r="C7" t="s">
        <v>75</v>
      </c>
      <c r="D7">
        <v>232323</v>
      </c>
      <c r="E7" t="s">
        <v>62</v>
      </c>
      <c r="F7" t="s">
        <v>63</v>
      </c>
      <c r="G7" t="s">
        <v>64</v>
      </c>
      <c r="H7" t="s">
        <v>70</v>
      </c>
      <c r="I7" t="s">
        <v>30</v>
      </c>
      <c r="J7" t="s">
        <v>76</v>
      </c>
      <c r="K7" t="s">
        <v>46</v>
      </c>
      <c r="L7" t="s">
        <v>33</v>
      </c>
      <c r="M7" t="s">
        <v>34</v>
      </c>
      <c r="N7" t="s">
        <v>57</v>
      </c>
      <c r="O7" t="s">
        <v>36</v>
      </c>
      <c r="P7" s="7">
        <v>500</v>
      </c>
      <c r="Q7">
        <v>111111</v>
      </c>
      <c r="R7" t="s">
        <v>77</v>
      </c>
      <c r="S7" t="s">
        <v>78</v>
      </c>
    </row>
  </sheetData>
  <sheetProtection password="D97C" sheet="1" sort="1" autoFilter="1"/>
  <autoFilter ref="A1:S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tabSelected="0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5.713" customWidth="true" style="0"/>
    <col min="2" max="2" width="8.141" customWidth="true" style="0"/>
    <col min="3" max="3" width="13.997" customWidth="true" style="0"/>
    <col min="4" max="4" width="22.28" customWidth="true" style="0"/>
    <col min="5" max="5" width="18.71" customWidth="true" style="0"/>
    <col min="6" max="6" width="18.71" customWidth="true" style="0"/>
    <col min="7" max="7" width="8.141" customWidth="true" style="0"/>
    <col min="8" max="8" width="16.282" customWidth="true" style="0"/>
    <col min="9" max="9" width="10.426" customWidth="true" style="0"/>
    <col min="10" max="10" width="17.567" customWidth="true" style="0"/>
  </cols>
  <sheetData>
    <row r="1" spans="1:10">
      <c r="A1" s="2" t="s">
        <v>4</v>
      </c>
      <c r="B1" s="2" t="s">
        <v>6</v>
      </c>
      <c r="C1" s="2" t="s">
        <v>8</v>
      </c>
      <c r="D1" s="2" t="s">
        <v>9</v>
      </c>
      <c r="E1" s="2" t="s">
        <v>11</v>
      </c>
      <c r="F1" s="2" t="s">
        <v>16</v>
      </c>
      <c r="G1" s="2" t="s">
        <v>19</v>
      </c>
      <c r="H1" s="2" t="s">
        <v>21</v>
      </c>
      <c r="I1" s="2" t="s">
        <v>79</v>
      </c>
      <c r="J1" s="2" t="s">
        <v>80</v>
      </c>
    </row>
    <row r="2" spans="1:10">
      <c r="A2">
        <v>58</v>
      </c>
      <c r="B2" t="s">
        <v>81</v>
      </c>
      <c r="C2" t="s">
        <v>26</v>
      </c>
      <c r="D2" t="s">
        <v>27</v>
      </c>
      <c r="E2" t="s">
        <v>29</v>
      </c>
      <c r="F2" t="s">
        <v>34</v>
      </c>
      <c r="G2">
        <v>100.0</v>
      </c>
      <c r="H2" t="s">
        <v>38</v>
      </c>
      <c r="I2">
        <v>2</v>
      </c>
      <c r="J2" t="s">
        <v>82</v>
      </c>
    </row>
    <row r="3" spans="1:10">
      <c r="A3">
        <v>59</v>
      </c>
      <c r="B3" t="s">
        <v>83</v>
      </c>
      <c r="C3" t="s">
        <v>42</v>
      </c>
      <c r="D3" t="s">
        <v>43</v>
      </c>
      <c r="E3" t="s">
        <v>44</v>
      </c>
      <c r="F3" t="s">
        <v>48</v>
      </c>
      <c r="G3">
        <v>100.0</v>
      </c>
      <c r="H3" t="s">
        <v>51</v>
      </c>
      <c r="I3">
        <v>2</v>
      </c>
      <c r="J3" t="s">
        <v>84</v>
      </c>
    </row>
    <row r="4" spans="1:10">
      <c r="A4">
        <v>60</v>
      </c>
      <c r="B4" t="s">
        <v>85</v>
      </c>
      <c r="C4" t="s">
        <v>62</v>
      </c>
      <c r="D4" t="s">
        <v>63</v>
      </c>
      <c r="E4" t="s">
        <v>65</v>
      </c>
      <c r="F4" t="s">
        <v>48</v>
      </c>
      <c r="G4">
        <v>100.0</v>
      </c>
      <c r="H4" t="s">
        <v>67</v>
      </c>
      <c r="I4">
        <v>1</v>
      </c>
      <c r="J4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N4"/>
  <sheetViews>
    <sheetView tabSelected="0" workbookViewId="0" showGridLines="true" showRowColHeaders="1">
      <pane ySplit="1" activePane="bottomLeft" state="frozen" topLeftCell="A2"/>
      <selection pane="bottomLeft" activeCell="L2" sqref="L2:L4"/>
    </sheetView>
  </sheetViews>
  <sheetFormatPr defaultRowHeight="14.4" outlineLevelRow="0" outlineLevelCol="0"/>
  <cols>
    <col min="1" max="1" width="8.141" customWidth="true" style="0"/>
    <col min="2" max="2" width="24.708" customWidth="true" style="0"/>
    <col min="3" max="3" width="21.138" customWidth="true" style="0"/>
    <col min="4" max="4" width="12.854" customWidth="true" style="0"/>
    <col min="5" max="5" width="13.997" customWidth="true" style="0"/>
    <col min="6" max="6" width="10.569" customWidth="true" style="0"/>
    <col min="7" max="7" width="19.995" customWidth="true" style="0"/>
    <col min="8" max="8" width="11.711" customWidth="true" style="0"/>
    <col min="9" max="9" width="12.854" customWidth="true" style="0"/>
    <col min="10" max="10" width="15.282" customWidth="true" style="0"/>
    <col min="11" max="11" width="47.131" customWidth="true" style="0"/>
    <col min="12" max="12" width="10.569" customWidth="true" style="0"/>
    <col min="13" max="13" width="21.138" customWidth="true" style="0"/>
    <col min="14" max="14" width="23.423" customWidth="true" style="0"/>
  </cols>
  <sheetData>
    <row r="1" spans="1:14">
      <c r="A1" s="2" t="s">
        <v>4</v>
      </c>
      <c r="B1" s="2" t="s">
        <v>87</v>
      </c>
      <c r="C1" s="2" t="s">
        <v>88</v>
      </c>
      <c r="D1" s="2" t="s">
        <v>79</v>
      </c>
      <c r="E1" s="2" t="s">
        <v>89</v>
      </c>
      <c r="F1" s="2" t="s">
        <v>6</v>
      </c>
      <c r="G1" s="2" t="s">
        <v>14</v>
      </c>
      <c r="H1" s="2" t="s">
        <v>90</v>
      </c>
      <c r="I1" s="2" t="s">
        <v>91</v>
      </c>
      <c r="J1" s="2" t="s">
        <v>92</v>
      </c>
      <c r="K1" s="2" t="s">
        <v>16</v>
      </c>
      <c r="L1" s="2" t="s">
        <v>19</v>
      </c>
      <c r="M1" s="2" t="s">
        <v>93</v>
      </c>
      <c r="N1" s="2" t="s">
        <v>94</v>
      </c>
    </row>
    <row r="2" spans="1:14">
      <c r="A2" s="3">
        <v>80</v>
      </c>
      <c r="B2" s="4" t="s">
        <v>23</v>
      </c>
      <c r="C2" s="3" t="s">
        <v>95</v>
      </c>
      <c r="D2" s="3">
        <v>2</v>
      </c>
      <c r="E2" s="3" t="s">
        <v>96</v>
      </c>
      <c r="F2" s="3" t="s">
        <v>97</v>
      </c>
      <c r="G2" s="3" t="s">
        <v>98</v>
      </c>
      <c r="H2" s="3">
        <v>2</v>
      </c>
      <c r="I2" s="3" t="s">
        <v>99</v>
      </c>
      <c r="J2" s="3">
        <v>1</v>
      </c>
      <c r="K2" s="3" t="s">
        <v>100</v>
      </c>
      <c r="L2" s="5">
        <v>100.0</v>
      </c>
      <c r="M2" s="3" t="s">
        <v>101</v>
      </c>
      <c r="N2" s="4" t="s">
        <v>102</v>
      </c>
    </row>
    <row r="3" spans="1:14">
      <c r="A3">
        <v>81</v>
      </c>
      <c r="B3" s="6" t="s">
        <v>23</v>
      </c>
      <c r="C3" t="s">
        <v>95</v>
      </c>
      <c r="D3">
        <v>2</v>
      </c>
      <c r="E3" t="s">
        <v>96</v>
      </c>
      <c r="F3" t="s">
        <v>103</v>
      </c>
      <c r="G3" t="s">
        <v>104</v>
      </c>
      <c r="H3">
        <v>1</v>
      </c>
      <c r="I3" t="s">
        <v>105</v>
      </c>
      <c r="J3">
        <v>1</v>
      </c>
      <c r="K3" t="s">
        <v>106</v>
      </c>
      <c r="L3" s="7">
        <v>100.0</v>
      </c>
      <c r="M3">
        <v>1</v>
      </c>
      <c r="N3" t="s">
        <v>107</v>
      </c>
    </row>
    <row r="4" spans="1:14">
      <c r="A4" s="8">
        <v>82</v>
      </c>
      <c r="B4" s="9" t="s">
        <v>60</v>
      </c>
      <c r="C4" s="8" t="s">
        <v>95</v>
      </c>
      <c r="D4" s="8">
        <v>2</v>
      </c>
      <c r="E4" s="8" t="s">
        <v>96</v>
      </c>
      <c r="F4" s="8" t="s">
        <v>108</v>
      </c>
      <c r="G4" s="8" t="s">
        <v>104</v>
      </c>
      <c r="H4" s="8">
        <v>1</v>
      </c>
      <c r="I4" s="8" t="s">
        <v>109</v>
      </c>
      <c r="J4" s="8" t="s">
        <v>110</v>
      </c>
      <c r="K4" s="8" t="s">
        <v>100</v>
      </c>
      <c r="L4" s="10">
        <v>50.0</v>
      </c>
      <c r="M4" s="8"/>
      <c r="N4" s="8" t="s">
        <v>111</v>
      </c>
    </row>
  </sheetData>
  <sheetProtection password="D97C" sheet="1" sort="1" autoFilter="1"/>
  <autoFilter ref="A1:N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4"/>
  <sheetViews>
    <sheetView tabSelected="0" workbookViewId="0" showGridLines="true" showRowColHeaders="1">
      <pane ySplit="1" activePane="bottomLeft" state="frozen" topLeftCell="A2"/>
      <selection pane="bottomLeft" activeCell="G2" sqref="G2:G4"/>
    </sheetView>
  </sheetViews>
  <sheetFormatPr defaultRowHeight="14.4" outlineLevelRow="0" outlineLevelCol="0"/>
  <cols>
    <col min="1" max="1" width="8.141" customWidth="true" style="0"/>
    <col min="2" max="2" width="12.854" customWidth="true" style="0"/>
    <col min="3" max="3" width="13.997" customWidth="true" style="0"/>
    <col min="4" max="4" width="15.282" customWidth="true" style="0"/>
    <col min="5" max="5" width="47.131" customWidth="true" style="0"/>
    <col min="6" max="6" width="19.995" customWidth="true" style="0"/>
    <col min="7" max="7" width="18.71" customWidth="true" style="0"/>
    <col min="8" max="8" width="12.854" customWidth="true" style="0"/>
    <col min="9" max="9" width="22.28" customWidth="true" style="0"/>
    <col min="10" max="10" width="16.425" customWidth="true" style="0"/>
    <col min="11" max="11" width="21.138" customWidth="true" style="0"/>
    <col min="12" max="12" width="23.423" customWidth="true" style="0"/>
  </cols>
  <sheetData>
    <row r="1" spans="1:12">
      <c r="A1" s="2" t="s">
        <v>4</v>
      </c>
      <c r="B1" s="2" t="s">
        <v>5</v>
      </c>
      <c r="C1" s="2" t="s">
        <v>112</v>
      </c>
      <c r="D1" s="2" t="s">
        <v>20</v>
      </c>
      <c r="E1" s="2" t="s">
        <v>113</v>
      </c>
      <c r="F1" s="2" t="s">
        <v>14</v>
      </c>
      <c r="G1" s="2" t="s">
        <v>114</v>
      </c>
      <c r="H1" s="2" t="s">
        <v>91</v>
      </c>
      <c r="I1" s="2" t="s">
        <v>115</v>
      </c>
      <c r="J1" s="2" t="s">
        <v>116</v>
      </c>
      <c r="K1" s="2" t="s">
        <v>93</v>
      </c>
      <c r="L1" s="2" t="s">
        <v>94</v>
      </c>
    </row>
    <row r="2" spans="1:12">
      <c r="A2" s="3">
        <v>40</v>
      </c>
      <c r="B2" s="4" t="s">
        <v>23</v>
      </c>
      <c r="C2" s="3" t="s">
        <v>110</v>
      </c>
      <c r="D2" s="3">
        <v>111</v>
      </c>
      <c r="E2" s="3" t="s">
        <v>100</v>
      </c>
      <c r="F2" s="3" t="s">
        <v>98</v>
      </c>
      <c r="G2" s="5">
        <v>100.0</v>
      </c>
      <c r="H2" s="3" t="s">
        <v>99</v>
      </c>
      <c r="I2" s="3" t="s">
        <v>117</v>
      </c>
      <c r="J2" s="3" t="s">
        <v>118</v>
      </c>
      <c r="K2" s="3">
        <v>1</v>
      </c>
      <c r="L2" s="4" t="s">
        <v>119</v>
      </c>
    </row>
    <row r="3" spans="1:12">
      <c r="A3">
        <v>41</v>
      </c>
      <c r="B3" s="6" t="s">
        <v>23</v>
      </c>
      <c r="C3">
        <v>1</v>
      </c>
      <c r="D3">
        <v>1</v>
      </c>
      <c r="E3" t="s">
        <v>106</v>
      </c>
      <c r="F3" t="s">
        <v>104</v>
      </c>
      <c r="G3" s="7">
        <v>100.0</v>
      </c>
      <c r="H3" t="s">
        <v>105</v>
      </c>
      <c r="I3" t="s">
        <v>117</v>
      </c>
      <c r="J3">
        <v>1</v>
      </c>
      <c r="K3">
        <v>1</v>
      </c>
      <c r="L3" t="s">
        <v>120</v>
      </c>
    </row>
    <row r="4" spans="1:12">
      <c r="A4" s="8">
        <v>42</v>
      </c>
      <c r="B4" s="9" t="s">
        <v>60</v>
      </c>
      <c r="C4" s="8" t="s">
        <v>110</v>
      </c>
      <c r="D4" s="8">
        <v>101</v>
      </c>
      <c r="E4" s="8" t="s">
        <v>100</v>
      </c>
      <c r="F4" s="8" t="s">
        <v>104</v>
      </c>
      <c r="G4" s="10">
        <v>50.0</v>
      </c>
      <c r="H4" s="8" t="s">
        <v>109</v>
      </c>
      <c r="I4" s="8" t="s">
        <v>117</v>
      </c>
      <c r="J4" s="8" t="s">
        <v>121</v>
      </c>
      <c r="K4" s="8"/>
      <c r="L4" s="8" t="s">
        <v>122</v>
      </c>
    </row>
  </sheetData>
  <sheetProtection password="D97C" sheet="1" sort="1" autoFilter="1"/>
  <autoFilter ref="A1:L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0" workbookViewId="0" showGridLines="true" showRowColHeaders="1">
      <pane ySplit="1" activePane="bottomLeft" state="frozen" topLeftCell="A2"/>
      <selection pane="bottomLeft" activeCell="A1" sqref="A1:M1"/>
    </sheetView>
  </sheetViews>
  <sheetFormatPr defaultRowHeight="14.4" outlineLevelRow="0" outlineLevelCol="0"/>
  <cols>
    <col min="1" max="1" width="5.713" customWidth="true" style="0"/>
    <col min="2" max="2" width="22.28" customWidth="true" style="0"/>
    <col min="3" max="3" width="12.854" customWidth="true" style="0"/>
    <col min="4" max="4" width="11.569" customWidth="true" style="0"/>
    <col min="5" max="5" width="16.282" customWidth="true" style="0"/>
    <col min="6" max="6" width="22.28" customWidth="true" style="0"/>
    <col min="7" max="7" width="18.71" customWidth="true" style="0"/>
    <col min="8" max="8" width="16.282" customWidth="true" style="0"/>
    <col min="9" max="9" width="13.997" customWidth="true" style="0"/>
    <col min="10" max="10" width="18.71" customWidth="true" style="0"/>
    <col min="11" max="11" width="22.28" customWidth="true" style="0"/>
    <col min="12" max="12" width="9.283" customWidth="true" style="0"/>
    <col min="13" max="13" width="13.997" customWidth="true" style="0"/>
  </cols>
  <sheetData>
    <row r="1" spans="1:13">
      <c r="A1" s="2" t="s">
        <v>4</v>
      </c>
      <c r="B1" s="2" t="s">
        <v>123</v>
      </c>
      <c r="C1" s="2" t="s">
        <v>113</v>
      </c>
      <c r="D1" s="2" t="s">
        <v>124</v>
      </c>
      <c r="E1" s="2" t="s">
        <v>10</v>
      </c>
      <c r="F1" s="2" t="s">
        <v>15</v>
      </c>
      <c r="G1" s="2" t="s">
        <v>11</v>
      </c>
      <c r="H1" s="2" t="s">
        <v>12</v>
      </c>
      <c r="I1" s="2" t="s">
        <v>18</v>
      </c>
      <c r="J1" s="2" t="s">
        <v>93</v>
      </c>
      <c r="K1" s="2" t="s">
        <v>9</v>
      </c>
      <c r="L1" s="2" t="s">
        <v>5</v>
      </c>
      <c r="M1" s="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pane ySplit="1" activePane="bottomLeft" state="frozen" topLeftCell="A2"/>
      <selection pane="bottomLeft" activeCell="A1" sqref="A1:H1"/>
    </sheetView>
  </sheetViews>
  <sheetFormatPr defaultRowHeight="14.4" outlineLevelRow="0" outlineLevelCol="0"/>
  <cols>
    <col min="1" max="1" width="9.283" customWidth="true" style="0"/>
    <col min="2" max="2" width="8.141" customWidth="true" style="0"/>
    <col min="3" max="3" width="11.569" customWidth="true" style="0"/>
    <col min="4" max="4" width="10.426" customWidth="true" style="0"/>
    <col min="5" max="5" width="16.282" customWidth="true" style="0"/>
    <col min="6" max="6" width="8.141" customWidth="true" style="0"/>
    <col min="7" max="7" width="18.71" customWidth="true" style="0"/>
    <col min="8" max="8" width="13.997" customWidth="true" style="0"/>
  </cols>
  <sheetData>
    <row r="1" spans="1:8">
      <c r="A1" s="2" t="s">
        <v>5</v>
      </c>
      <c r="B1" s="2" t="s">
        <v>6</v>
      </c>
      <c r="C1" s="2" t="s">
        <v>124</v>
      </c>
      <c r="D1" s="2" t="s">
        <v>125</v>
      </c>
      <c r="E1" s="2" t="s">
        <v>126</v>
      </c>
      <c r="F1" s="2" t="s">
        <v>19</v>
      </c>
      <c r="G1" s="2" t="s">
        <v>93</v>
      </c>
      <c r="H1" s="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INVENTARIO</vt:lpstr>
      <vt:lpstr>EN_PROCESO</vt:lpstr>
      <vt:lpstr>PRODUCCION</vt:lpstr>
      <vt:lpstr>DESPACHO</vt:lpstr>
      <vt:lpstr>PROVEEDORES</vt:lpstr>
      <vt:lpstr>RESIDUOS_PRODUCCION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2026-04-08T23:19:36+02:00</dcterms:created>
  <dcterms:modified xsi:type="dcterms:W3CDTF">2026-04-08T23:19:36+02:00</dcterms:modified>
  <dc:title>Untitled Spreadsheet</dc:title>
  <dc:description/>
  <dc:subject/>
  <cp:keywords/>
  <cp:category/>
</cp:coreProperties>
</file>